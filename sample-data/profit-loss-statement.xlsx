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 P&amp;L" sheetId="2" state="visible" r:id="rId4"/>
    <sheet name="Budget vs Actual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<sst xmlns="http://schemas.openxmlformats.org/spreadsheetml/2006/main" count="89" uniqueCount="86">
  <si>
    <t xml:space="preserve">FY2026 PROFIT &amp; LOSS DASHBOARD</t>
  </si>
  <si>
    <t xml:space="preserve">Sample Co.  |  Year-to-date performance at a glance</t>
  </si>
  <si>
    <t xml:space="preserve">TOTAL REVENUE (YTD)</t>
  </si>
  <si>
    <t xml:space="preserve">NET PROFIT (YTD)</t>
  </si>
  <si>
    <t xml:space="preserve">NET PROFIT MARGIN</t>
  </si>
  <si>
    <t xml:space="preserve">OPERATING PROFIT (YTD)</t>
  </si>
  <si>
    <t xml:space="preserve">All figures are illustrative sample data. See the Notes tab for assumptions. Built as a template — replace the yellow input cells on Monthly P&amp;L and Budget vs Actual with your own numbers.</t>
  </si>
  <si>
    <t xml:space="preserve">MONTHLY PROFIT &amp; LOSS STATEMENT</t>
  </si>
  <si>
    <t xml:space="preserve">Sample Co.  |  FY2026  |  Figures in USD</t>
  </si>
  <si>
    <t xml:space="preserve">Yellow cells are sample monthly inputs — replace with your own actuals. Every total, margin, and YTD figure recalculates automatically.</t>
  </si>
  <si>
    <t xml:space="preserve">Line Item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</si>
  <si>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</si>
  <si>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</si>
  <si>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</si>
  <si>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</si>
  <si>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</si>
  <si>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</si>
  <si>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</si>
  <si>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</si>
  <si>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</si>
  <si>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</si>
  <si>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</si>
  <si>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</si>
  <si>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YTD</t>
  </si>
  <si>
    <t xml:space="preserve">REVENUE</t>
  </si>
  <si>
    <t xml:space="preserve">Product Sales</t>
  </si>
  <si>
    <t xml:space="preserve">Service Revenue</t>
  </si>
  <si>
    <t xml:space="preserve">Other Income</t>
  </si>
  <si>
    <t xml:space="preserve">TOTAL REVENUE</t>
  </si>
  <si>
    <t xml:space="preserve">COST OF GOODS SOLD</t>
  </si>
  <si>
    <t xml:space="preserve">Materials &amp; Supplies</t>
  </si>
  <si>
    <t xml:space="preserve">Direct Labor</t>
  </si>
  <si>
    <t xml:space="preserve">TOTAL COST OF GOODS SOLD</t>
  </si>
  <si>
    <t xml:space="preserve">GROSS PROFIT</t>
  </si>
  <si>
    <t xml:space="preserve">Gross Margin %</t>
  </si>
  <si>
    <t xml:space="preserve">OPERATING EXPENSES</t>
  </si>
  <si>
    <t xml:space="preserve">Salaries &amp; Benefits</t>
  </si>
  <si>
    <t xml:space="preserve">Marketing &amp; Advertising</t>
  </si>
  <si>
    <t xml:space="preserve">Rent &amp; Utilities</t>
  </si>
  <si>
    <t xml:space="preserve">Software &amp; Subscriptions</t>
  </si>
  <si>
    <t xml:space="preserve">Professional Services</t>
  </si>
  <si>
    <t xml:space="preserve">Travel &amp; Entertainment</t>
  </si>
  <si>
    <t xml:space="preserve">Other G&amp;A</t>
  </si>
  <si>
    <t xml:space="preserve">TOTAL OPERATING EXPENSES</t>
  </si>
  <si>
    <t xml:space="preserve">OPERATING PROFIT (EBIT)</t>
  </si>
  <si>
    <t xml:space="preserve">Operating Margin %</t>
  </si>
  <si>
    <t xml:space="preserve">OTHER INCOME (EXPENSE)</t>
  </si>
  <si>
    <t xml:space="preserve">Interest Income</t>
  </si>
  <si>
    <t xml:space="preserve">Interest Expense</t>
  </si>
  <si>
    <t xml:space="preserve">TOTAL OTHER INCOME (EXPENSE)</t>
  </si>
  <si>
    <t xml:space="preserve">PROFIT BEFORE TAX</t>
  </si>
  <si>
    <t xml:space="preserve">Income Tax Expense</t>
  </si>
  <si>
    <t xml:space="preserve">NET PROFIT / (LOSS)</t>
  </si>
  <si>
    <t xml:space="preserve">Net Profit Margin %</t>
  </si>
  <si>
    <t xml:space="preserve">Note: all figures are illustrative sample data for demonstration purposes only.</t>
  </si>
  <si>
    <t xml:space="preserve">BUDGET vs. ACTUAL — FY2026</t>
  </si>
  <si>
    <t xml:space="preserve">Sample Co.  |  Annual budget targets vs. year-to-date actuals pulled live from the Monthly P&amp;L tab</t>
  </si>
  <si>
    <t xml:space="preserve">Budget ($)</t>
  </si>
  <si>
    <t xml:space="preserve">Actual ($)</t>
  </si>
  <si>
    <t xml:space="preserve">Variance ($)</t>
  </si>
  <si>
    <t xml:space="preserve">Variance (%)</t>
  </si>
  <si>
    <t xml:space="preserve">Performance</t>
  </si>
  <si>
    <t xml:space="preserve">Total Revenue</t>
  </si>
  <si>
    <t xml:space="preserve">Total Cost of Goods Sold</t>
  </si>
  <si>
    <t xml:space="preserve">Gross Profit</t>
  </si>
  <si>
    <t xml:space="preserve">Total Operating Expenses</t>
  </si>
  <si>
    <t xml:space="preserve">Operating Profit (EBIT)</t>
  </si>
  <si>
    <t xml:space="preserve">Net Profit</t>
  </si>
  <si>
    <t xml:space="preserve">Note: Budget figures are illustrative annual targets (sample data). Actuals are pulled live from the Monthly P&amp;L tab's YTD column.</t>
  </si>
  <si>
    <t xml:space="preserve">Chart Data</t>
  </si>
  <si>
    <t xml:space="preserve">Budget</t>
  </si>
  <si>
    <t xml:space="preserve">Actual</t>
  </si>
  <si>
    <t xml:space="preserve">Revenue</t>
  </si>
  <si>
    <t xml:space="preserve">COGS</t>
  </si>
  <si>
    <t xml:space="preserve">OpEx</t>
  </si>
  <si>
    <t xml:space="preserve">ASSUMPTIONS &amp; NOTES</t>
  </si>
  <si>
    <t xml:space="preserve">Assumption</t>
  </si>
  <si>
    <t xml:space="preserve">Value</t>
  </si>
  <si>
    <t xml:space="preserve">Description / Source</t>
  </si>
  <si>
    <t xml:space="preserve">Corporate income tax rate</t>
  </si>
  <si>
    <t xml:space="preserve">Sample rate (US federal statutory corporate rate) applied to Profit Before Tax on the Monthly P&amp;L tab. Replace with your entity's effective rate.</t>
  </si>
  <si>
    <t xml:space="preserve">All monthly figures</t>
  </si>
  <si>
    <t xml:space="preserve">—</t>
  </si>
  <si>
    <t xml:space="preserve">Illustrative sample data for demonstration purposes only — not a real company's financials.</t>
  </si>
  <si>
    <t xml:space="preserve">Annual budget figures</t>
  </si>
  <si>
    <t xml:space="preserve">Illustrative management targets (Budget vs Actual tab), set independently of the monthly actuals for comparison purposes.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</si>
</sst>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"/>
    <numFmt numFmtId="166" formatCode="0.0%;\(0.0%\)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1F3864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sz val="9.5"/>
      <color rgb="FF0000FF"/>
      <name val="Arial"/>
      <family val="0"/>
      <charset val="1"/>
    </font>
    <font>
      <b val="true"/>
      <sz val="9.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.5"/>
      <name val="Arial"/>
      <family val="0"/>
      <charset val="1"/>
    </font>
    <font>
      <i val="true"/>
      <sz val="9.5"/>
      <color rgb="FF008000"/>
      <name val="Arial"/>
      <family val="0"/>
      <charset val="1"/>
    </font>
    <font>
      <b val="true"/>
      <i val="true"/>
      <sz val="9.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6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9F9F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vs. Net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P&amp;L'!A10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P&amp;L'!$B$5:$M$5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P&amp;L'!$B$10:$M$10</c:f>
              <c:numCache>
                <c:formatCode>\$#,##0;"($"#,##0\)</c:formatCode>
                <c:ptCount val="12"/>
                <c:pt idx="0">
                  <c:v>54000</c:v>
                </c:pt>
                <c:pt idx="1">
                  <c:v>56000</c:v>
                </c:pt>
                <c:pt idx="2">
                  <c:v>59500</c:v>
                </c:pt>
                <c:pt idx="3">
                  <c:v>57500</c:v>
                </c:pt>
                <c:pt idx="4">
                  <c:v>60000</c:v>
                </c:pt>
                <c:pt idx="5">
                  <c:v>62500</c:v>
                </c:pt>
                <c:pt idx="6">
                  <c:v>54000</c:v>
                </c:pt>
                <c:pt idx="7">
                  <c:v>54800</c:v>
                </c:pt>
                <c:pt idx="8">
                  <c:v>61200</c:v>
                </c:pt>
                <c:pt idx="9">
                  <c:v>65000</c:v>
                </c:pt>
                <c:pt idx="10">
                  <c:v>67500</c:v>
                </c:pt>
                <c:pt idx="11">
                  <c:v>77500</c:v>
                </c:pt>
              </c:numCache>
            </c:numRef>
          </c:val>
        </c:ser>
        <c:gapWidth val="150"/>
        <c:overlap val="0"/>
        <c:axId val="69022502"/>
        <c:axId val="8329098"/>
      </c:barChart>
      <c:lineChart>
        <c:grouping val="standard"/>
        <c:varyColors val="0"/>
        <c:ser>
          <c:idx val="1"/>
          <c:order val="1"/>
          <c:tx>
            <c:strRef>
              <c:f>'Monthly P&amp;L'!A40</c:f>
              <c:strCache>
                <c:ptCount val="1"/>
                <c:pt idx="0">
                  <c:v>NET PROFIT / (LOSS)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P&amp;L'!$B$5:$M$5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P&amp;L'!$B$40:$M$40</c:f>
              <c:numCache>
                <c:formatCode>\$#,##0;"($"#,##0\)</c:formatCode>
                <c:ptCount val="12"/>
                <c:pt idx="0">
                  <c:v>9875</c:v>
                </c:pt>
                <c:pt idx="1">
                  <c:v>11692</c:v>
                </c:pt>
                <c:pt idx="2">
                  <c:v>12647.9</c:v>
                </c:pt>
                <c:pt idx="3">
                  <c:v>12094.9</c:v>
                </c:pt>
                <c:pt idx="4">
                  <c:v>13208.8</c:v>
                </c:pt>
                <c:pt idx="5">
                  <c:v>13050.8</c:v>
                </c:pt>
                <c:pt idx="6">
                  <c:v>10609.7</c:v>
                </c:pt>
                <c:pt idx="7">
                  <c:v>11715.7</c:v>
                </c:pt>
                <c:pt idx="8">
                  <c:v>12632.1</c:v>
                </c:pt>
                <c:pt idx="9">
                  <c:v>15160.1</c:v>
                </c:pt>
                <c:pt idx="10">
                  <c:v>16353</c:v>
                </c:pt>
                <c:pt idx="11">
                  <c:v>20303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118688"/>
        <c:axId val="32731532"/>
      </c:lineChart>
      <c:catAx>
        <c:axId val="690225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9098"/>
        <c:crosses val="autoZero"/>
        <c:auto val="1"/>
        <c:lblAlgn val="ctr"/>
        <c:lblOffset val="100"/>
        <c:noMultiLvlLbl val="0"/>
      </c:catAx>
      <c:valAx>
        <c:axId val="8329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22502"/>
        <c:crosses val="autoZero"/>
        <c:crossBetween val="between"/>
      </c:valAx>
      <c:catAx>
        <c:axId val="13118688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31532"/>
        <c:crosses val="autoZero"/>
        <c:auto val="1"/>
        <c:lblAlgn val="ctr"/>
        <c:lblOffset val="100"/>
        <c:noMultiLvlLbl val="0"/>
      </c:catAx>
      <c:valAx>
        <c:axId val="3273153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1868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Budget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'Budget vs Actual'!B14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Actual'!$A$15:$A$18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Net Profit</c:v>
                </c:pt>
              </c:strCache>
            </c:strRef>
          </c:cat>
          <c:val>
            <c:numRef>
              <c:f>'Budget vs Actual'!$B$15:$B$18</c:f>
              <c:numCache>
                <c:formatCode>\$#,##0;"($"#,##0\)</c:formatCode>
                <c:ptCount val="4"/>
                <c:pt idx="0">
                  <c:v>700000</c:v>
                </c:pt>
                <c:pt idx="1">
                  <c:v>195000</c:v>
                </c:pt>
                <c:pt idx="2">
                  <c:v>300000</c:v>
                </c:pt>
                <c:pt idx="3">
                  <c:v>155000</c:v>
                </c:pt>
              </c:numCache>
            </c:numRef>
          </c:val>
        </c:ser>
        <c:ser>
          <c:idx val="1"/>
          <c:order val="1"/>
          <c:tx>
            <c:strRef>
              <c:f>'Budget vs Actual'!C14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Actual'!$A$15:$A$18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Net Profit</c:v>
                </c:pt>
              </c:strCache>
            </c:strRef>
          </c:cat>
          <c:val>
            <c:numRef>
              <c:f>'Budget vs Actual'!$C$15:$C$18</c:f>
              <c:numCache>
                <c:formatCode>\$#,##0;"($"#,##0\)</c:formatCode>
                <c:ptCount val="4"/>
                <c:pt idx="0">
                  <c:v>729500</c:v>
                </c:pt>
                <c:pt idx="1">
                  <c:v>207800</c:v>
                </c:pt>
                <c:pt idx="2">
                  <c:v>317900</c:v>
                </c:pt>
                <c:pt idx="3">
                  <c:v>159343</c:v>
                </c:pt>
              </c:numCache>
            </c:numRef>
          </c:val>
        </c:ser>
        <c:gapWidth val="150"/>
        <c:overlap val="0"/>
        <c:axId val="94014262"/>
        <c:axId val="77351287"/>
      </c:barChart>
      <c:catAx>
        <c:axId val="940142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51287"/>
        <c:crosses val="autoZero"/>
        <c:auto val="1"/>
        <c:lblAlgn val="ctr"/>
        <c:lblOffset val="100"/>
        <c:noMultiLvlLbl val="0"/>
      </c:catAx>
      <c:valAx>
        <c:axId val="77351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142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Actual (FY2026)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'Budget vs Actual'!B14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Actual'!$A$15:$A$18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Net Profit</c:v>
                </c:pt>
              </c:strCache>
            </c:strRef>
          </c:cat>
          <c:val>
            <c:numRef>
              <c:f>'Budget vs Actual'!$B$15:$B$18</c:f>
              <c:numCache>
                <c:formatCode>\$#,##0;"($"#,##0\)</c:formatCode>
                <c:ptCount val="4"/>
                <c:pt idx="0">
                  <c:v>700000</c:v>
                </c:pt>
                <c:pt idx="1">
                  <c:v>195000</c:v>
                </c:pt>
                <c:pt idx="2">
                  <c:v>300000</c:v>
                </c:pt>
                <c:pt idx="3">
                  <c:v>155000</c:v>
                </c:pt>
              </c:numCache>
            </c:numRef>
          </c:val>
        </c:ser>
        <c:ser>
          <c:idx val="1"/>
          <c:order val="1"/>
          <c:tx>
            <c:strRef>
              <c:f>'Budget vs Actual'!C14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Actual'!$A$15:$A$18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Net Profit</c:v>
                </c:pt>
              </c:strCache>
            </c:strRef>
          </c:cat>
          <c:val>
            <c:numRef>
              <c:f>'Budget vs Actual'!$C$15:$C$18</c:f>
              <c:numCache>
                <c:formatCode>\$#,##0;"($"#,##0\)</c:formatCode>
                <c:ptCount val="4"/>
                <c:pt idx="0">
                  <c:v>729500</c:v>
                </c:pt>
                <c:pt idx="1">
                  <c:v>207800</c:v>
                </c:pt>
                <c:pt idx="2">
                  <c:v>317900</c:v>
                </c:pt>
                <c:pt idx="3">
                  <c:v>159343</c:v>
                </c:pt>
              </c:numCache>
            </c:numRef>
          </c:val>
        </c:ser>
        <c:gapWidth val="150"/>
        <c:overlap val="0"/>
        <c:axId val="55689803"/>
        <c:axId val="71657291"/>
      </c:barChart>
      <c:catAx>
        <c:axId val="556898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57291"/>
        <c:crosses val="autoZero"/>
        <c:auto val="1"/>
        <c:lblAlgn val="ctr"/>
        <c:lblOffset val="100"/>
        <c:noMultiLvlLbl val="0"/>
      </c:catAx>
      <c:valAx>
        <c:axId val="71657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898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7</xdr:col>
      <xdr:colOff>798840</xdr:colOff>
      <xdr:row>26</xdr:row>
      <xdr:rowOff>170640</xdr:rowOff>
    </xdr:to>
    <xdr:graphicFrame>
      <xdr:nvGraphicFramePr>
        <xdr:cNvPr id="0" name="Chart 1"/>
        <xdr:cNvGraphicFramePr/>
      </xdr:nvGraphicFramePr>
      <xdr:xfrm>
        <a:off x="266760" y="20574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7</xdr:col>
      <xdr:colOff>798840</xdr:colOff>
      <xdr:row>46</xdr:row>
      <xdr:rowOff>170640</xdr:rowOff>
    </xdr:to>
    <xdr:graphicFrame>
      <xdr:nvGraphicFramePr>
        <xdr:cNvPr id="1" name="Chart 2"/>
        <xdr:cNvGraphicFramePr/>
      </xdr:nvGraphicFramePr>
      <xdr:xfrm>
        <a:off x="266760" y="58672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14</xdr:col>
      <xdr:colOff>447840</xdr:colOff>
      <xdr:row>19</xdr:row>
      <xdr:rowOff>153360</xdr:rowOff>
    </xdr:to>
    <xdr:graphicFrame>
      <xdr:nvGraphicFramePr>
        <xdr:cNvPr id="2" name="Chart 1"/>
        <xdr:cNvGraphicFramePr/>
      </xdr:nvGraphicFramePr>
      <xdr:xfrm>
        <a:off x="9648720" y="819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8" hidden="false" customHeight="true" outlineLevel="0" collapsed="false">
      <c r="B4" s="3" t="s">
        <v>2</v>
      </c>
      <c r="C4" s="3"/>
      <c r="D4" s="3"/>
      <c r="E4" s="3" t="s">
        <v>3</v>
      </c>
      <c r="F4" s="3"/>
      <c r="G4" s="3"/>
      <c r="H4" s="3" t="s">
        <v>4</v>
      </c>
      <c r="I4" s="3"/>
      <c r="J4" s="3"/>
      <c r="K4" s="3" t="s">
        <v>5</v>
      </c>
      <c r="L4" s="3"/>
      <c r="M4" s="3"/>
    </row>
    <row r="5" customFormat="false" ht="30" hidden="false" customHeight="true" outlineLevel="0" collapsed="false">
      <c r="B5" s="4" t="n">
        <f aca="false">'Monthly P&amp;L'!N10</f>
        <v>729500</v>
      </c>
      <c r="C5" s="4"/>
      <c r="D5" s="4"/>
      <c r="E5" s="4" t="n">
        <f aca="false">'Monthly P&amp;L'!N40</f>
        <v>159343</v>
      </c>
      <c r="F5" s="4"/>
      <c r="G5" s="4"/>
      <c r="H5" s="5" t="n">
        <f aca="false">'Monthly P&amp;L'!N41</f>
        <v>0.218427690198766</v>
      </c>
      <c r="I5" s="5"/>
      <c r="J5" s="5"/>
      <c r="K5" s="4" t="n">
        <f aca="false">'Monthly P&amp;L'!N30</f>
        <v>203800</v>
      </c>
      <c r="L5" s="4"/>
      <c r="M5" s="4"/>
    </row>
    <row r="6" customFormat="false" ht="15.75" hidden="false" customHeight="true" outlineLevel="0" collapsed="false">
      <c r="B6" s="6" t="str">
        <f aca="false">"vs. budget: "&amp;TEXT('Budget vs Actual'!E5,"+0.0%;-0.0%")</f>
        <v>vs. budget: +4.2%</v>
      </c>
      <c r="C6" s="6"/>
      <c r="D6" s="6"/>
      <c r="E6" s="6" t="str">
        <f aca="false">"vs. budget: "&amp;TEXT('Budget vs Actual'!E10,"+0.0%;-0.0%")</f>
        <v>vs. budget: +2.8%</v>
      </c>
      <c r="F6" s="6"/>
      <c r="G6" s="6"/>
      <c r="H6" s="6" t="str">
        <f aca="false">"Gross margin: "&amp;TEXT('Monthly P&amp;L'!N18,"0.0%")</f>
        <v>Gross margin: 71.5%</v>
      </c>
      <c r="I6" s="6"/>
      <c r="J6" s="6"/>
      <c r="K6" s="6" t="str">
        <f aca="false">"Operating margin: "&amp;TEXT('Monthly P&amp;L'!N31,"0.0%")</f>
        <v>Operating margin: 27.9%</v>
      </c>
      <c r="L6" s="6"/>
      <c r="M6" s="6"/>
    </row>
    <row r="49" customFormat="false" ht="15" hidden="false" customHeight="true" outlineLevel="0" collapsed="false">
      <c r="A49" s="7" t="s">
        <v>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</sheetData>
  <mergeCells count="15">
    <mergeCell ref="A1:M1"/>
    <mergeCell ref="A2:M2"/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A49:M4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30" hidden="false" customHeight="true" outlineLevel="0" collapsed="false">
      <c r="A1" s="8" t="s">
        <v>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19.5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9" t="s">
        <v>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5" customFormat="false" ht="18" hidden="false" customHeight="true" outlineLevel="0" collapsed="false">
      <c r="A5" s="10" t="s">
        <v>10</v>
      </c>
      <c r="B5" s="10" t="s">
        <v>11</v>
      </c>
      <c r="C5" s="10" t="s">
        <v>12</v>
      </c>
      <c r="D5" s="10" t="s">
        <v>13</v>
      </c>
      <c r="E5" s="10" t="s">
        <v>14</v>
      </c>
      <c r="F5" s="10" t="s">
        <v>15</v>
      </c>
      <c r="G5" s="10" t="s">
        <v>16</v>
      </c>
      <c r="H5" s="10" t="s">
        <v>17</v>
      </c>
      <c r="I5" s="10" t="s">
        <v>18</v>
      </c>
      <c r="J5" s="10" t="s">
        <v>19</v>
      </c>
      <c r="K5" s="10" t="s">
        <v>20</v>
      </c>
      <c r="L5" s="10" t="s">
        <v>21</v>
      </c>
      <c r="M5" s="10" t="s">
        <v>22</v>
      </c>
      <c r="N5" s="10" t="s">
        <v>23</v>
      </c>
    </row>
    <row r="6" customFormat="false" ht="15.75" hidden="false" customHeight="true" outlineLevel="0" collapsed="false">
      <c r="A6" s="11" t="s">
        <v>24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12" t="s">
        <v>25</v>
      </c>
      <c r="B7" s="13" t="n">
        <v>42000</v>
      </c>
      <c r="C7" s="13" t="n">
        <v>43500</v>
      </c>
      <c r="D7" s="13" t="n">
        <v>45000</v>
      </c>
      <c r="E7" s="13" t="n">
        <v>44000</v>
      </c>
      <c r="F7" s="13" t="n">
        <v>46000</v>
      </c>
      <c r="G7" s="13" t="n">
        <v>48000</v>
      </c>
      <c r="H7" s="13" t="n">
        <v>41000</v>
      </c>
      <c r="I7" s="13" t="n">
        <v>40000</v>
      </c>
      <c r="J7" s="13" t="n">
        <v>47000</v>
      </c>
      <c r="K7" s="13" t="n">
        <v>50000</v>
      </c>
      <c r="L7" s="13" t="n">
        <v>52000</v>
      </c>
      <c r="M7" s="13" t="n">
        <v>58000</v>
      </c>
      <c r="N7" s="14" t="n">
        <f aca="false">SUM(B7:M7)</f>
        <v>556500</v>
      </c>
    </row>
    <row r="8" customFormat="false" ht="15" hidden="false" customHeight="false" outlineLevel="0" collapsed="false">
      <c r="A8" s="12" t="s">
        <v>26</v>
      </c>
      <c r="B8" s="13" t="n">
        <v>12000</v>
      </c>
      <c r="C8" s="13" t="n">
        <v>12500</v>
      </c>
      <c r="D8" s="13" t="n">
        <v>13000</v>
      </c>
      <c r="E8" s="13" t="n">
        <v>13500</v>
      </c>
      <c r="F8" s="13" t="n">
        <v>14000</v>
      </c>
      <c r="G8" s="13" t="n">
        <v>14500</v>
      </c>
      <c r="H8" s="13" t="n">
        <v>13000</v>
      </c>
      <c r="I8" s="13" t="n">
        <v>12800</v>
      </c>
      <c r="J8" s="13" t="n">
        <v>14200</v>
      </c>
      <c r="K8" s="13" t="n">
        <v>15000</v>
      </c>
      <c r="L8" s="13" t="n">
        <v>15500</v>
      </c>
      <c r="M8" s="13" t="n">
        <v>16500</v>
      </c>
      <c r="N8" s="14" t="n">
        <f aca="false">SUM(B8:M8)</f>
        <v>166500</v>
      </c>
    </row>
    <row r="9" customFormat="false" ht="15" hidden="false" customHeight="false" outlineLevel="0" collapsed="false">
      <c r="A9" s="12" t="s">
        <v>27</v>
      </c>
      <c r="B9" s="13" t="n">
        <v>0</v>
      </c>
      <c r="C9" s="13" t="n">
        <v>0</v>
      </c>
      <c r="D9" s="13" t="n">
        <v>1500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2000</v>
      </c>
      <c r="J9" s="13" t="n">
        <v>0</v>
      </c>
      <c r="K9" s="13" t="n">
        <v>0</v>
      </c>
      <c r="L9" s="13" t="n">
        <v>0</v>
      </c>
      <c r="M9" s="13" t="n">
        <v>3000</v>
      </c>
      <c r="N9" s="14" t="n">
        <f aca="false">SUM(B9:M9)</f>
        <v>6500</v>
      </c>
    </row>
    <row r="10" customFormat="false" ht="15" hidden="false" customHeight="false" outlineLevel="0" collapsed="false">
      <c r="A10" s="15" t="s">
        <v>28</v>
      </c>
      <c r="B10" s="16" t="n">
        <f aca="false">B7+B8+B9</f>
        <v>54000</v>
      </c>
      <c r="C10" s="16" t="n">
        <f aca="false">C7+C8+C9</f>
        <v>56000</v>
      </c>
      <c r="D10" s="16" t="n">
        <f aca="false">D7+D8+D9</f>
        <v>59500</v>
      </c>
      <c r="E10" s="16" t="n">
        <f aca="false">E7+E8+E9</f>
        <v>57500</v>
      </c>
      <c r="F10" s="16" t="n">
        <f aca="false">F7+F8+F9</f>
        <v>60000</v>
      </c>
      <c r="G10" s="16" t="n">
        <f aca="false">G7+G8+G9</f>
        <v>62500</v>
      </c>
      <c r="H10" s="16" t="n">
        <f aca="false">H7+H8+H9</f>
        <v>54000</v>
      </c>
      <c r="I10" s="16" t="n">
        <f aca="false">I7+I8+I9</f>
        <v>54800</v>
      </c>
      <c r="J10" s="16" t="n">
        <f aca="false">J7+J8+J9</f>
        <v>61200</v>
      </c>
      <c r="K10" s="16" t="n">
        <f aca="false">K7+K8+K9</f>
        <v>65000</v>
      </c>
      <c r="L10" s="16" t="n">
        <f aca="false">L7+L8+L9</f>
        <v>67500</v>
      </c>
      <c r="M10" s="16" t="n">
        <f aca="false">M7+M8+M9</f>
        <v>77500</v>
      </c>
      <c r="N10" s="16" t="n">
        <f aca="false">N7+N8+N9</f>
        <v>729500</v>
      </c>
    </row>
    <row r="12" customFormat="false" ht="15.75" hidden="false" customHeight="true" outlineLevel="0" collapsed="false">
      <c r="A12" s="11" t="s">
        <v>29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15" hidden="false" customHeight="false" outlineLevel="0" collapsed="false">
      <c r="A13" s="12" t="s">
        <v>30</v>
      </c>
      <c r="B13" s="13" t="n">
        <v>9000</v>
      </c>
      <c r="C13" s="13" t="n">
        <v>9300</v>
      </c>
      <c r="D13" s="13" t="n">
        <v>9600</v>
      </c>
      <c r="E13" s="13" t="n">
        <v>9400</v>
      </c>
      <c r="F13" s="13" t="n">
        <v>9800</v>
      </c>
      <c r="G13" s="13" t="n">
        <v>10200</v>
      </c>
      <c r="H13" s="13" t="n">
        <v>8700</v>
      </c>
      <c r="I13" s="13" t="n">
        <v>8500</v>
      </c>
      <c r="J13" s="13" t="n">
        <v>10000</v>
      </c>
      <c r="K13" s="13" t="n">
        <v>10600</v>
      </c>
      <c r="L13" s="13" t="n">
        <v>11000</v>
      </c>
      <c r="M13" s="13" t="n">
        <v>12300</v>
      </c>
      <c r="N13" s="14" t="n">
        <f aca="false">SUM(B13:M13)</f>
        <v>118400</v>
      </c>
    </row>
    <row r="14" customFormat="false" ht="15" hidden="false" customHeight="false" outlineLevel="0" collapsed="false">
      <c r="A14" s="12" t="s">
        <v>31</v>
      </c>
      <c r="B14" s="13" t="n">
        <v>7000</v>
      </c>
      <c r="C14" s="13" t="n">
        <v>7100</v>
      </c>
      <c r="D14" s="13" t="n">
        <v>7300</v>
      </c>
      <c r="E14" s="13" t="n">
        <v>7200</v>
      </c>
      <c r="F14" s="13" t="n">
        <v>7400</v>
      </c>
      <c r="G14" s="13" t="n">
        <v>7600</v>
      </c>
      <c r="H14" s="13" t="n">
        <v>7000</v>
      </c>
      <c r="I14" s="13" t="n">
        <v>6900</v>
      </c>
      <c r="J14" s="13" t="n">
        <v>7500</v>
      </c>
      <c r="K14" s="13" t="n">
        <v>7800</v>
      </c>
      <c r="L14" s="13" t="n">
        <v>8000</v>
      </c>
      <c r="M14" s="13" t="n">
        <v>8600</v>
      </c>
      <c r="N14" s="14" t="n">
        <f aca="false">SUM(B14:M14)</f>
        <v>89400</v>
      </c>
    </row>
    <row r="15" customFormat="false" ht="15" hidden="false" customHeight="false" outlineLevel="0" collapsed="false">
      <c r="A15" s="15" t="s">
        <v>32</v>
      </c>
      <c r="B15" s="16" t="n">
        <f aca="false">B13+B14</f>
        <v>16000</v>
      </c>
      <c r="C15" s="16" t="n">
        <f aca="false">C13+C14</f>
        <v>16400</v>
      </c>
      <c r="D15" s="16" t="n">
        <f aca="false">D13+D14</f>
        <v>16900</v>
      </c>
      <c r="E15" s="16" t="n">
        <f aca="false">E13+E14</f>
        <v>16600</v>
      </c>
      <c r="F15" s="16" t="n">
        <f aca="false">F13+F14</f>
        <v>17200</v>
      </c>
      <c r="G15" s="16" t="n">
        <f aca="false">G13+G14</f>
        <v>17800</v>
      </c>
      <c r="H15" s="16" t="n">
        <f aca="false">H13+H14</f>
        <v>15700</v>
      </c>
      <c r="I15" s="16" t="n">
        <f aca="false">I13+I14</f>
        <v>15400</v>
      </c>
      <c r="J15" s="16" t="n">
        <f aca="false">J13+J14</f>
        <v>17500</v>
      </c>
      <c r="K15" s="16" t="n">
        <f aca="false">K13+K14</f>
        <v>18400</v>
      </c>
      <c r="L15" s="16" t="n">
        <f aca="false">L13+L14</f>
        <v>19000</v>
      </c>
      <c r="M15" s="16" t="n">
        <f aca="false">M13+M14</f>
        <v>20900</v>
      </c>
      <c r="N15" s="16" t="n">
        <f aca="false">N13+N14</f>
        <v>207800</v>
      </c>
    </row>
    <row r="17" customFormat="false" ht="15" hidden="false" customHeight="false" outlineLevel="0" collapsed="false">
      <c r="A17" s="15" t="s">
        <v>33</v>
      </c>
      <c r="B17" s="16" t="n">
        <f aca="false">B10-B15</f>
        <v>38000</v>
      </c>
      <c r="C17" s="16" t="n">
        <f aca="false">C10-C15</f>
        <v>39600</v>
      </c>
      <c r="D17" s="16" t="n">
        <f aca="false">D10-D15</f>
        <v>42600</v>
      </c>
      <c r="E17" s="16" t="n">
        <f aca="false">E10-E15</f>
        <v>40900</v>
      </c>
      <c r="F17" s="16" t="n">
        <f aca="false">F10-F15</f>
        <v>42800</v>
      </c>
      <c r="G17" s="16" t="n">
        <f aca="false">G10-G15</f>
        <v>44700</v>
      </c>
      <c r="H17" s="16" t="n">
        <f aca="false">H10-H15</f>
        <v>38300</v>
      </c>
      <c r="I17" s="16" t="n">
        <f aca="false">I10-I15</f>
        <v>39400</v>
      </c>
      <c r="J17" s="16" t="n">
        <f aca="false">J10-J15</f>
        <v>43700</v>
      </c>
      <c r="K17" s="16" t="n">
        <f aca="false">K10-K15</f>
        <v>46600</v>
      </c>
      <c r="L17" s="16" t="n">
        <f aca="false">L10-L15</f>
        <v>48500</v>
      </c>
      <c r="M17" s="16" t="n">
        <f aca="false">M10-M15</f>
        <v>56600</v>
      </c>
      <c r="N17" s="16" t="n">
        <f aca="false">N10-N15</f>
        <v>521700</v>
      </c>
    </row>
    <row r="18" customFormat="false" ht="15" hidden="false" customHeight="false" outlineLevel="0" collapsed="false">
      <c r="A18" s="17" t="s">
        <v>34</v>
      </c>
      <c r="B18" s="18" t="n">
        <f aca="false">IFERROR(B17/B10,"n/a")</f>
        <v>0.703703703703704</v>
      </c>
      <c r="C18" s="18" t="n">
        <f aca="false">IFERROR(C17/C10,"n/a")</f>
        <v>0.707142857142857</v>
      </c>
      <c r="D18" s="18" t="n">
        <f aca="false">IFERROR(D17/D10,"n/a")</f>
        <v>0.715966386554622</v>
      </c>
      <c r="E18" s="18" t="n">
        <f aca="false">IFERROR(E17/E10,"n/a")</f>
        <v>0.711304347826087</v>
      </c>
      <c r="F18" s="18" t="n">
        <f aca="false">IFERROR(F17/F10,"n/a")</f>
        <v>0.713333333333333</v>
      </c>
      <c r="G18" s="18" t="n">
        <f aca="false">IFERROR(G17/G10,"n/a")</f>
        <v>0.7152</v>
      </c>
      <c r="H18" s="18" t="n">
        <f aca="false">IFERROR(H17/H10,"n/a")</f>
        <v>0.709259259259259</v>
      </c>
      <c r="I18" s="18" t="n">
        <f aca="false">IFERROR(I17/I10,"n/a")</f>
        <v>0.718978102189781</v>
      </c>
      <c r="J18" s="18" t="n">
        <f aca="false">IFERROR(J17/J10,"n/a")</f>
        <v>0.714052287581699</v>
      </c>
      <c r="K18" s="18" t="n">
        <f aca="false">IFERROR(K17/K10,"n/a")</f>
        <v>0.716923076923077</v>
      </c>
      <c r="L18" s="18" t="n">
        <f aca="false">IFERROR(L17/L10,"n/a")</f>
        <v>0.718518518518519</v>
      </c>
      <c r="M18" s="18" t="n">
        <f aca="false">IFERROR(M17/M10,"n/a")</f>
        <v>0.730322580645161</v>
      </c>
      <c r="N18" s="19" t="n">
        <f aca="false">IFERROR(N17/N10,"n/a")</f>
        <v>0.715147361206306</v>
      </c>
    </row>
    <row r="20" customFormat="false" ht="15.75" hidden="false" customHeight="true" outlineLevel="0" collapsed="false">
      <c r="A20" s="11" t="s">
        <v>35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customFormat="false" ht="15" hidden="false" customHeight="false" outlineLevel="0" collapsed="false">
      <c r="A21" s="12" t="s">
        <v>36</v>
      </c>
      <c r="B21" s="13" t="n">
        <v>15000</v>
      </c>
      <c r="C21" s="13" t="n">
        <v>15000</v>
      </c>
      <c r="D21" s="13" t="n">
        <v>15000</v>
      </c>
      <c r="E21" s="13" t="n">
        <v>15500</v>
      </c>
      <c r="F21" s="13" t="n">
        <v>15500</v>
      </c>
      <c r="G21" s="13" t="n">
        <v>15500</v>
      </c>
      <c r="H21" s="13" t="n">
        <v>15500</v>
      </c>
      <c r="I21" s="13" t="n">
        <v>15500</v>
      </c>
      <c r="J21" s="13" t="n">
        <v>16000</v>
      </c>
      <c r="K21" s="13" t="n">
        <v>16000</v>
      </c>
      <c r="L21" s="13" t="n">
        <v>16000</v>
      </c>
      <c r="M21" s="13" t="n">
        <v>16000</v>
      </c>
      <c r="N21" s="14" t="n">
        <f aca="false">SUM(B21:M21)</f>
        <v>186500</v>
      </c>
    </row>
    <row r="22" customFormat="false" ht="15" hidden="false" customHeight="false" outlineLevel="0" collapsed="false">
      <c r="A22" s="12" t="s">
        <v>37</v>
      </c>
      <c r="B22" s="13" t="n">
        <v>4000</v>
      </c>
      <c r="C22" s="13" t="n">
        <v>4200</v>
      </c>
      <c r="D22" s="13" t="n">
        <v>4500</v>
      </c>
      <c r="E22" s="13" t="n">
        <v>4300</v>
      </c>
      <c r="F22" s="13" t="n">
        <v>4600</v>
      </c>
      <c r="G22" s="13" t="n">
        <v>5000</v>
      </c>
      <c r="H22" s="13" t="n">
        <v>3800</v>
      </c>
      <c r="I22" s="13" t="n">
        <v>3600</v>
      </c>
      <c r="J22" s="13" t="n">
        <v>4800</v>
      </c>
      <c r="K22" s="13" t="n">
        <v>5200</v>
      </c>
      <c r="L22" s="13" t="n">
        <v>5500</v>
      </c>
      <c r="M22" s="13" t="n">
        <v>6500</v>
      </c>
      <c r="N22" s="14" t="n">
        <f aca="false">SUM(B22:M22)</f>
        <v>56000</v>
      </c>
    </row>
    <row r="23" customFormat="false" ht="15" hidden="false" customHeight="false" outlineLevel="0" collapsed="false">
      <c r="A23" s="12" t="s">
        <v>38</v>
      </c>
      <c r="B23" s="13" t="n">
        <v>3200</v>
      </c>
      <c r="C23" s="13" t="n">
        <v>3200</v>
      </c>
      <c r="D23" s="13" t="n">
        <v>3200</v>
      </c>
      <c r="E23" s="13" t="n">
        <v>3200</v>
      </c>
      <c r="F23" s="13" t="n">
        <v>3200</v>
      </c>
      <c r="G23" s="13" t="n">
        <v>3200</v>
      </c>
      <c r="H23" s="13" t="n">
        <v>3200</v>
      </c>
      <c r="I23" s="13" t="n">
        <v>3200</v>
      </c>
      <c r="J23" s="13" t="n">
        <v>3200</v>
      </c>
      <c r="K23" s="13" t="n">
        <v>3200</v>
      </c>
      <c r="L23" s="13" t="n">
        <v>3200</v>
      </c>
      <c r="M23" s="13" t="n">
        <v>3200</v>
      </c>
      <c r="N23" s="14" t="n">
        <f aca="false">SUM(B23:M23)</f>
        <v>38400</v>
      </c>
    </row>
    <row r="24" customFormat="false" ht="15" hidden="false" customHeight="false" outlineLevel="0" collapsed="false">
      <c r="A24" s="12" t="s">
        <v>39</v>
      </c>
      <c r="B24" s="13" t="n">
        <v>1200</v>
      </c>
      <c r="C24" s="13" t="n">
        <v>1200</v>
      </c>
      <c r="D24" s="13" t="n">
        <v>1250</v>
      </c>
      <c r="E24" s="13" t="n">
        <v>1250</v>
      </c>
      <c r="F24" s="13" t="n">
        <v>1250</v>
      </c>
      <c r="G24" s="13" t="n">
        <v>1300</v>
      </c>
      <c r="H24" s="13" t="n">
        <v>1300</v>
      </c>
      <c r="I24" s="13" t="n">
        <v>1300</v>
      </c>
      <c r="J24" s="13" t="n">
        <v>1300</v>
      </c>
      <c r="K24" s="13" t="n">
        <v>1350</v>
      </c>
      <c r="L24" s="13" t="n">
        <v>1350</v>
      </c>
      <c r="M24" s="13" t="n">
        <v>1350</v>
      </c>
      <c r="N24" s="14" t="n">
        <f aca="false">SUM(B24:M24)</f>
        <v>15400</v>
      </c>
    </row>
    <row r="25" customFormat="false" ht="15" hidden="false" customHeight="false" outlineLevel="0" collapsed="false">
      <c r="A25" s="12" t="s">
        <v>40</v>
      </c>
      <c r="B25" s="13" t="n">
        <v>800</v>
      </c>
      <c r="C25" s="13" t="n">
        <v>0</v>
      </c>
      <c r="D25" s="13" t="n">
        <v>1200</v>
      </c>
      <c r="E25" s="13" t="n">
        <v>0</v>
      </c>
      <c r="F25" s="13" t="n">
        <v>0</v>
      </c>
      <c r="G25" s="13" t="n">
        <v>1500</v>
      </c>
      <c r="H25" s="13" t="n">
        <v>0</v>
      </c>
      <c r="I25" s="13" t="n">
        <v>0</v>
      </c>
      <c r="J25" s="13" t="n">
        <v>900</v>
      </c>
      <c r="K25" s="13" t="n">
        <v>0</v>
      </c>
      <c r="L25" s="13" t="n">
        <v>0</v>
      </c>
      <c r="M25" s="13" t="n">
        <v>1800</v>
      </c>
      <c r="N25" s="14" t="n">
        <f aca="false">SUM(B25:M25)</f>
        <v>6200</v>
      </c>
    </row>
    <row r="26" customFormat="false" ht="15" hidden="false" customHeight="false" outlineLevel="0" collapsed="false">
      <c r="A26" s="12" t="s">
        <v>41</v>
      </c>
      <c r="B26" s="13" t="n">
        <v>600</v>
      </c>
      <c r="C26" s="13" t="n">
        <v>500</v>
      </c>
      <c r="D26" s="13" t="n">
        <v>700</v>
      </c>
      <c r="E26" s="13" t="n">
        <v>650</v>
      </c>
      <c r="F26" s="13" t="n">
        <v>800</v>
      </c>
      <c r="G26" s="13" t="n">
        <v>900</v>
      </c>
      <c r="H26" s="13" t="n">
        <v>400</v>
      </c>
      <c r="I26" s="13" t="n">
        <v>350</v>
      </c>
      <c r="J26" s="13" t="n">
        <v>750</v>
      </c>
      <c r="K26" s="13" t="n">
        <v>850</v>
      </c>
      <c r="L26" s="13" t="n">
        <v>900</v>
      </c>
      <c r="M26" s="13" t="n">
        <v>1100</v>
      </c>
      <c r="N26" s="14" t="n">
        <f aca="false">SUM(B26:M26)</f>
        <v>8500</v>
      </c>
    </row>
    <row r="27" customFormat="false" ht="15" hidden="false" customHeight="false" outlineLevel="0" collapsed="false">
      <c r="A27" s="12" t="s">
        <v>42</v>
      </c>
      <c r="B27" s="13" t="n">
        <v>500</v>
      </c>
      <c r="C27" s="13" t="n">
        <v>500</v>
      </c>
      <c r="D27" s="13" t="n">
        <v>550</v>
      </c>
      <c r="E27" s="13" t="n">
        <v>500</v>
      </c>
      <c r="F27" s="13" t="n">
        <v>550</v>
      </c>
      <c r="G27" s="13" t="n">
        <v>600</v>
      </c>
      <c r="H27" s="13" t="n">
        <v>500</v>
      </c>
      <c r="I27" s="13" t="n">
        <v>450</v>
      </c>
      <c r="J27" s="13" t="n">
        <v>600</v>
      </c>
      <c r="K27" s="13" t="n">
        <v>650</v>
      </c>
      <c r="L27" s="13" t="n">
        <v>700</v>
      </c>
      <c r="M27" s="13" t="n">
        <v>800</v>
      </c>
      <c r="N27" s="14" t="n">
        <f aca="false">SUM(B27:M27)</f>
        <v>6900</v>
      </c>
    </row>
    <row r="28" customFormat="false" ht="15" hidden="false" customHeight="false" outlineLevel="0" collapsed="false">
      <c r="A28" s="15" t="s">
        <v>43</v>
      </c>
      <c r="B28" s="16" t="n">
        <f aca="false">B21+B22+B23+B24+B25+B26+B27</f>
        <v>25300</v>
      </c>
      <c r="C28" s="16" t="n">
        <f aca="false">C21+C22+C23+C24+C25+C26+C27</f>
        <v>24600</v>
      </c>
      <c r="D28" s="16" t="n">
        <f aca="false">D21+D22+D23+D24+D25+D26+D27</f>
        <v>26400</v>
      </c>
      <c r="E28" s="16" t="n">
        <f aca="false">E21+E22+E23+E24+E25+E26+E27</f>
        <v>25400</v>
      </c>
      <c r="F28" s="16" t="n">
        <f aca="false">F21+F22+F23+F24+F25+F26+F27</f>
        <v>25900</v>
      </c>
      <c r="G28" s="16" t="n">
        <f aca="false">G21+G22+G23+G24+G25+G26+G27</f>
        <v>28000</v>
      </c>
      <c r="H28" s="16" t="n">
        <f aca="false">H21+H22+H23+H24+H25+H26+H27</f>
        <v>24700</v>
      </c>
      <c r="I28" s="16" t="n">
        <f aca="false">I21+I22+I23+I24+I25+I26+I27</f>
        <v>24400</v>
      </c>
      <c r="J28" s="16" t="n">
        <f aca="false">J21+J22+J23+J24+J25+J26+J27</f>
        <v>27550</v>
      </c>
      <c r="K28" s="16" t="n">
        <f aca="false">K21+K22+K23+K24+K25+K26+K27</f>
        <v>27250</v>
      </c>
      <c r="L28" s="16" t="n">
        <f aca="false">L21+L22+L23+L24+L25+L26+L27</f>
        <v>27650</v>
      </c>
      <c r="M28" s="16" t="n">
        <f aca="false">M21+M22+M23+M24+M25+M26+M27</f>
        <v>30750</v>
      </c>
      <c r="N28" s="16" t="n">
        <f aca="false">N21+N22+N23+N24+N25+N26+N27</f>
        <v>317900</v>
      </c>
    </row>
    <row r="30" customFormat="false" ht="15" hidden="false" customHeight="false" outlineLevel="0" collapsed="false">
      <c r="A30" s="15" t="s">
        <v>44</v>
      </c>
      <c r="B30" s="16" t="n">
        <f aca="false">B17-B28</f>
        <v>12700</v>
      </c>
      <c r="C30" s="16" t="n">
        <f aca="false">C17-C28</f>
        <v>15000</v>
      </c>
      <c r="D30" s="16" t="n">
        <f aca="false">D17-D28</f>
        <v>16200</v>
      </c>
      <c r="E30" s="16" t="n">
        <f aca="false">E17-E28</f>
        <v>15500</v>
      </c>
      <c r="F30" s="16" t="n">
        <f aca="false">F17-F28</f>
        <v>16900</v>
      </c>
      <c r="G30" s="16" t="n">
        <f aca="false">G17-G28</f>
        <v>16700</v>
      </c>
      <c r="H30" s="16" t="n">
        <f aca="false">H17-H28</f>
        <v>13600</v>
      </c>
      <c r="I30" s="16" t="n">
        <f aca="false">I17-I28</f>
        <v>15000</v>
      </c>
      <c r="J30" s="16" t="n">
        <f aca="false">J17-J28</f>
        <v>16150</v>
      </c>
      <c r="K30" s="16" t="n">
        <f aca="false">K17-K28</f>
        <v>19350</v>
      </c>
      <c r="L30" s="16" t="n">
        <f aca="false">L17-L28</f>
        <v>20850</v>
      </c>
      <c r="M30" s="16" t="n">
        <f aca="false">M17-M28</f>
        <v>25850</v>
      </c>
      <c r="N30" s="16" t="n">
        <f aca="false">N17-N28</f>
        <v>203800</v>
      </c>
    </row>
    <row r="31" customFormat="false" ht="15" hidden="false" customHeight="false" outlineLevel="0" collapsed="false">
      <c r="A31" s="17" t="s">
        <v>45</v>
      </c>
      <c r="B31" s="18" t="n">
        <f aca="false">IFERROR(B30/B10,"n/a")</f>
        <v>0.235185185185185</v>
      </c>
      <c r="C31" s="18" t="n">
        <f aca="false">IFERROR(C30/C10,"n/a")</f>
        <v>0.267857142857143</v>
      </c>
      <c r="D31" s="18" t="n">
        <f aca="false">IFERROR(D30/D10,"n/a")</f>
        <v>0.272268907563025</v>
      </c>
      <c r="E31" s="18" t="n">
        <f aca="false">IFERROR(E30/E10,"n/a")</f>
        <v>0.269565217391304</v>
      </c>
      <c r="F31" s="18" t="n">
        <f aca="false">IFERROR(F30/F10,"n/a")</f>
        <v>0.281666666666667</v>
      </c>
      <c r="G31" s="18" t="n">
        <f aca="false">IFERROR(G30/G10,"n/a")</f>
        <v>0.2672</v>
      </c>
      <c r="H31" s="18" t="n">
        <f aca="false">IFERROR(H30/H10,"n/a")</f>
        <v>0.251851851851852</v>
      </c>
      <c r="I31" s="18" t="n">
        <f aca="false">IFERROR(I30/I10,"n/a")</f>
        <v>0.273722627737226</v>
      </c>
      <c r="J31" s="18" t="n">
        <f aca="false">IFERROR(J30/J10,"n/a")</f>
        <v>0.263888888888889</v>
      </c>
      <c r="K31" s="18" t="n">
        <f aca="false">IFERROR(K30/K10,"n/a")</f>
        <v>0.297692307692308</v>
      </c>
      <c r="L31" s="18" t="n">
        <f aca="false">IFERROR(L30/L10,"n/a")</f>
        <v>0.308888888888889</v>
      </c>
      <c r="M31" s="18" t="n">
        <f aca="false">IFERROR(M30/M10,"n/a")</f>
        <v>0.333548387096774</v>
      </c>
      <c r="N31" s="19" t="n">
        <f aca="false">IFERROR(N30/N10,"n/a")</f>
        <v>0.279369431117204</v>
      </c>
    </row>
    <row r="33" customFormat="false" ht="15.75" hidden="false" customHeight="true" outlineLevel="0" collapsed="false">
      <c r="A33" s="11" t="s">
        <v>46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customFormat="false" ht="15" hidden="false" customHeight="false" outlineLevel="0" collapsed="false">
      <c r="A34" s="12" t="s">
        <v>47</v>
      </c>
      <c r="B34" s="13" t="n">
        <v>100</v>
      </c>
      <c r="C34" s="13" t="n">
        <v>100</v>
      </c>
      <c r="D34" s="13" t="n">
        <v>110</v>
      </c>
      <c r="E34" s="13" t="n">
        <v>110</v>
      </c>
      <c r="F34" s="13" t="n">
        <v>120</v>
      </c>
      <c r="G34" s="13" t="n">
        <v>120</v>
      </c>
      <c r="H34" s="13" t="n">
        <v>130</v>
      </c>
      <c r="I34" s="13" t="n">
        <v>130</v>
      </c>
      <c r="J34" s="13" t="n">
        <v>140</v>
      </c>
      <c r="K34" s="13" t="n">
        <v>140</v>
      </c>
      <c r="L34" s="13" t="n">
        <v>150</v>
      </c>
      <c r="M34" s="13" t="n">
        <v>150</v>
      </c>
      <c r="N34" s="14" t="n">
        <f aca="false">SUM(B34:M34)</f>
        <v>1500</v>
      </c>
    </row>
    <row r="35" customFormat="false" ht="15" hidden="false" customHeight="false" outlineLevel="0" collapsed="false">
      <c r="A35" s="12" t="s">
        <v>48</v>
      </c>
      <c r="B35" s="13" t="n">
        <v>-300</v>
      </c>
      <c r="C35" s="13" t="n">
        <v>-300</v>
      </c>
      <c r="D35" s="13" t="n">
        <v>-300</v>
      </c>
      <c r="E35" s="13" t="n">
        <v>-300</v>
      </c>
      <c r="F35" s="13" t="n">
        <v>-300</v>
      </c>
      <c r="G35" s="13" t="n">
        <v>-300</v>
      </c>
      <c r="H35" s="13" t="n">
        <v>-300</v>
      </c>
      <c r="I35" s="13" t="n">
        <v>-300</v>
      </c>
      <c r="J35" s="13" t="n">
        <v>-300</v>
      </c>
      <c r="K35" s="13" t="n">
        <v>-300</v>
      </c>
      <c r="L35" s="13" t="n">
        <v>-300</v>
      </c>
      <c r="M35" s="13" t="n">
        <v>-300</v>
      </c>
      <c r="N35" s="14" t="n">
        <f aca="false">SUM(B35:M35)</f>
        <v>-3600</v>
      </c>
    </row>
    <row r="36" customFormat="false" ht="15" hidden="false" customHeight="false" outlineLevel="0" collapsed="false">
      <c r="A36" s="15" t="s">
        <v>49</v>
      </c>
      <c r="B36" s="16" t="n">
        <f aca="false">B34+B35</f>
        <v>-200</v>
      </c>
      <c r="C36" s="16" t="n">
        <f aca="false">C34+C35</f>
        <v>-200</v>
      </c>
      <c r="D36" s="16" t="n">
        <f aca="false">D34+D35</f>
        <v>-190</v>
      </c>
      <c r="E36" s="16" t="n">
        <f aca="false">E34+E35</f>
        <v>-190</v>
      </c>
      <c r="F36" s="16" t="n">
        <f aca="false">F34+F35</f>
        <v>-180</v>
      </c>
      <c r="G36" s="16" t="n">
        <f aca="false">G34+G35</f>
        <v>-180</v>
      </c>
      <c r="H36" s="16" t="n">
        <f aca="false">H34+H35</f>
        <v>-170</v>
      </c>
      <c r="I36" s="16" t="n">
        <f aca="false">I34+I35</f>
        <v>-170</v>
      </c>
      <c r="J36" s="16" t="n">
        <f aca="false">J34+J35</f>
        <v>-160</v>
      </c>
      <c r="K36" s="16" t="n">
        <f aca="false">K34+K35</f>
        <v>-160</v>
      </c>
      <c r="L36" s="16" t="n">
        <f aca="false">L34+L35</f>
        <v>-150</v>
      </c>
      <c r="M36" s="16" t="n">
        <f aca="false">M34+M35</f>
        <v>-150</v>
      </c>
      <c r="N36" s="16" t="n">
        <f aca="false">N34+N35</f>
        <v>-2100</v>
      </c>
    </row>
    <row r="38" customFormat="false" ht="15" hidden="false" customHeight="false" outlineLevel="0" collapsed="false">
      <c r="A38" s="15" t="s">
        <v>50</v>
      </c>
      <c r="B38" s="16" t="n">
        <f aca="false">B30+B36</f>
        <v>12500</v>
      </c>
      <c r="C38" s="16" t="n">
        <f aca="false">C30+C36</f>
        <v>14800</v>
      </c>
      <c r="D38" s="16" t="n">
        <f aca="false">D30+D36</f>
        <v>16010</v>
      </c>
      <c r="E38" s="16" t="n">
        <f aca="false">E30+E36</f>
        <v>15310</v>
      </c>
      <c r="F38" s="16" t="n">
        <f aca="false">F30+F36</f>
        <v>16720</v>
      </c>
      <c r="G38" s="16" t="n">
        <f aca="false">G30+G36</f>
        <v>16520</v>
      </c>
      <c r="H38" s="16" t="n">
        <f aca="false">H30+H36</f>
        <v>13430</v>
      </c>
      <c r="I38" s="16" t="n">
        <f aca="false">I30+I36</f>
        <v>14830</v>
      </c>
      <c r="J38" s="16" t="n">
        <f aca="false">J30+J36</f>
        <v>15990</v>
      </c>
      <c r="K38" s="16" t="n">
        <f aca="false">K30+K36</f>
        <v>19190</v>
      </c>
      <c r="L38" s="16" t="n">
        <f aca="false">L30+L36</f>
        <v>20700</v>
      </c>
      <c r="M38" s="16" t="n">
        <f aca="false">M30+M36</f>
        <v>25700</v>
      </c>
      <c r="N38" s="16" t="n">
        <f aca="false">N30+N36</f>
        <v>201700</v>
      </c>
    </row>
    <row r="39" customFormat="false" ht="15" hidden="false" customHeight="false" outlineLevel="0" collapsed="false">
      <c r="A39" s="20" t="s">
        <v>51</v>
      </c>
      <c r="B39" s="21" t="n">
        <f aca="false">-MAX(B38,0)*Notes!$B$5</f>
        <v>-2625</v>
      </c>
      <c r="C39" s="21" t="n">
        <f aca="false">-MAX(C38,0)*Notes!$B$5</f>
        <v>-3108</v>
      </c>
      <c r="D39" s="21" t="n">
        <f aca="false">-MAX(D38,0)*Notes!$B$5</f>
        <v>-3362.1</v>
      </c>
      <c r="E39" s="21" t="n">
        <f aca="false">-MAX(E38,0)*Notes!$B$5</f>
        <v>-3215.1</v>
      </c>
      <c r="F39" s="21" t="n">
        <f aca="false">-MAX(F38,0)*Notes!$B$5</f>
        <v>-3511.2</v>
      </c>
      <c r="G39" s="21" t="n">
        <f aca="false">-MAX(G38,0)*Notes!$B$5</f>
        <v>-3469.2</v>
      </c>
      <c r="H39" s="21" t="n">
        <f aca="false">-MAX(H38,0)*Notes!$B$5</f>
        <v>-2820.3</v>
      </c>
      <c r="I39" s="21" t="n">
        <f aca="false">-MAX(I38,0)*Notes!$B$5</f>
        <v>-3114.3</v>
      </c>
      <c r="J39" s="21" t="n">
        <f aca="false">-MAX(J38,0)*Notes!$B$5</f>
        <v>-3357.9</v>
      </c>
      <c r="K39" s="21" t="n">
        <f aca="false">-MAX(K38,0)*Notes!$B$5</f>
        <v>-4029.9</v>
      </c>
      <c r="L39" s="21" t="n">
        <f aca="false">-MAX(L38,0)*Notes!$B$5</f>
        <v>-4347</v>
      </c>
      <c r="M39" s="21" t="n">
        <f aca="false">-MAX(M38,0)*Notes!$B$5</f>
        <v>-5397</v>
      </c>
      <c r="N39" s="22" t="n">
        <f aca="false">SUM(B39:M39)</f>
        <v>-42357</v>
      </c>
    </row>
    <row r="40" customFormat="false" ht="18" hidden="false" customHeight="true" outlineLevel="0" collapsed="false">
      <c r="A40" s="23" t="s">
        <v>52</v>
      </c>
      <c r="B40" s="24" t="n">
        <f aca="false">B38+B39</f>
        <v>9875</v>
      </c>
      <c r="C40" s="24" t="n">
        <f aca="false">C38+C39</f>
        <v>11692</v>
      </c>
      <c r="D40" s="24" t="n">
        <f aca="false">D38+D39</f>
        <v>12647.9</v>
      </c>
      <c r="E40" s="24" t="n">
        <f aca="false">E38+E39</f>
        <v>12094.9</v>
      </c>
      <c r="F40" s="24" t="n">
        <f aca="false">F38+F39</f>
        <v>13208.8</v>
      </c>
      <c r="G40" s="24" t="n">
        <f aca="false">G38+G39</f>
        <v>13050.8</v>
      </c>
      <c r="H40" s="24" t="n">
        <f aca="false">H38+H39</f>
        <v>10609.7</v>
      </c>
      <c r="I40" s="24" t="n">
        <f aca="false">I38+I39</f>
        <v>11715.7</v>
      </c>
      <c r="J40" s="24" t="n">
        <f aca="false">J38+J39</f>
        <v>12632.1</v>
      </c>
      <c r="K40" s="24" t="n">
        <f aca="false">K38+K39</f>
        <v>15160.1</v>
      </c>
      <c r="L40" s="24" t="n">
        <f aca="false">L38+L39</f>
        <v>16353</v>
      </c>
      <c r="M40" s="24" t="n">
        <f aca="false">M38+M39</f>
        <v>20303</v>
      </c>
      <c r="N40" s="24" t="n">
        <f aca="false">N38+N39</f>
        <v>159343</v>
      </c>
    </row>
    <row r="41" customFormat="false" ht="15" hidden="false" customHeight="false" outlineLevel="0" collapsed="false">
      <c r="A41" s="17" t="s">
        <v>53</v>
      </c>
      <c r="B41" s="18" t="n">
        <f aca="false">IFERROR(B40/B10,"n/a")</f>
        <v>0.18287037037037</v>
      </c>
      <c r="C41" s="18" t="n">
        <f aca="false">IFERROR(C40/C10,"n/a")</f>
        <v>0.208785714285714</v>
      </c>
      <c r="D41" s="18" t="n">
        <f aca="false">IFERROR(D40/D10,"n/a")</f>
        <v>0.21256974789916</v>
      </c>
      <c r="E41" s="18" t="n">
        <f aca="false">IFERROR(E40/E10,"n/a")</f>
        <v>0.210346086956522</v>
      </c>
      <c r="F41" s="18" t="n">
        <f aca="false">IFERROR(F40/F10,"n/a")</f>
        <v>0.220146666666667</v>
      </c>
      <c r="G41" s="18" t="n">
        <f aca="false">IFERROR(G40/G10,"n/a")</f>
        <v>0.2088128</v>
      </c>
      <c r="H41" s="18" t="n">
        <f aca="false">IFERROR(H40/H10,"n/a")</f>
        <v>0.196475925925926</v>
      </c>
      <c r="I41" s="18" t="n">
        <f aca="false">IFERROR(I40/I10,"n/a")</f>
        <v>0.213790145985401</v>
      </c>
      <c r="J41" s="18" t="n">
        <f aca="false">IFERROR(J40/J10,"n/a")</f>
        <v>0.206406862745098</v>
      </c>
      <c r="K41" s="18" t="n">
        <f aca="false">IFERROR(K40/K10,"n/a")</f>
        <v>0.233232307692308</v>
      </c>
      <c r="L41" s="18" t="n">
        <f aca="false">IFERROR(L40/L10,"n/a")</f>
        <v>0.242266666666667</v>
      </c>
      <c r="M41" s="18" t="n">
        <f aca="false">IFERROR(M40/M10,"n/a")</f>
        <v>0.261974193548387</v>
      </c>
      <c r="N41" s="19" t="n">
        <f aca="false">IFERROR(N40/N10,"n/a")</f>
        <v>0.218427690198766</v>
      </c>
    </row>
    <row r="43" customFormat="false" ht="15" hidden="false" customHeight="false" outlineLevel="0" collapsed="false">
      <c r="A43" s="25" t="s">
        <v>54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</sheetData>
  <mergeCells count="8">
    <mergeCell ref="A1:N1"/>
    <mergeCell ref="A2:N2"/>
    <mergeCell ref="A3:N3"/>
    <mergeCell ref="A6:N6"/>
    <mergeCell ref="A12:N12"/>
    <mergeCell ref="A20:N20"/>
    <mergeCell ref="A33:N33"/>
    <mergeCell ref="A43:N43"/>
  </mergeCells>
  <conditionalFormatting sqref="B10:M10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{92B6D279-DE8D-4ADE-BB66-4BAF747AFC2E}</x14:id>
        </ext>
      </extLst>
    </cfRule>
  </conditionalFormatting>
  <conditionalFormatting sqref="B15:M15"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{82F5FE87-F4DC-4942-A4D3-D8CFA5D0DF50}</x14:id>
        </ext>
      </extLst>
    </cfRule>
  </conditionalFormatting>
  <conditionalFormatting sqref="B17:M17">
    <cfRule type="dataBar" priority="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{E61A4177-AB86-4877-B247-8EE2D33F6D5F}</x14:id>
        </ext>
      </extLst>
    </cfRule>
  </conditionalFormatting>
  <conditionalFormatting sqref="B28:M28">
    <cfRule type="dataBar" priority="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{475DC896-F9F0-4629-B66A-57DB69ECFA4F}</x14:id>
        </ext>
      </extLst>
    </cfRule>
  </conditionalFormatting>
  <conditionalFormatting sqref="B30:M30">
    <cfRule type="dataBar" priority="6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{A2203E39-947B-4AEE-9C5C-21567D1541DE}</x14:id>
        </ext>
      </extLst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B6D279-DE8D-4ADE-BB66-4BAF747AFC2E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B10:M10</xm:sqref>
        </x14:conditionalFormatting>
        <x14:conditionalFormatting xmlns:xm="http://schemas.microsoft.com/office/excel/2006/main">
          <x14:cfRule type="dataBar" id="{82F5FE87-F4DC-4942-A4D3-D8CFA5D0DF50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B15:M15</xm:sqref>
        </x14:conditionalFormatting>
        <x14:conditionalFormatting xmlns:xm="http://schemas.microsoft.com/office/excel/2006/main">
          <x14:cfRule type="dataBar" id="{E61A4177-AB86-4877-B247-8EE2D33F6D5F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B17:M17</xm:sqref>
        </x14:conditionalFormatting>
        <x14:conditionalFormatting xmlns:xm="http://schemas.microsoft.com/office/excel/2006/main">
          <x14:cfRule type="dataBar" id="{475DC896-F9F0-4629-B66A-57DB69ECFA4F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B28:M28</xm:sqref>
        </x14:conditionalFormatting>
        <x14:conditionalFormatting xmlns:xm="http://schemas.microsoft.com/office/excel/2006/main">
          <x14:cfRule type="dataBar" id="{A2203E39-947B-4AEE-9C5C-21567D1541DE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B30:M30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30" hidden="false" customHeight="true" outlineLevel="0" collapsed="false">
      <c r="A1" s="8" t="s">
        <v>55</v>
      </c>
      <c r="B1" s="8"/>
      <c r="C1" s="8"/>
      <c r="D1" s="8"/>
      <c r="E1" s="8"/>
      <c r="F1" s="8"/>
    </row>
    <row r="2" customFormat="false" ht="19.5" hidden="false" customHeight="true" outlineLevel="0" collapsed="false">
      <c r="A2" s="2" t="s">
        <v>56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10" t="s">
        <v>10</v>
      </c>
      <c r="B4" s="10" t="s">
        <v>57</v>
      </c>
      <c r="C4" s="10" t="s">
        <v>58</v>
      </c>
      <c r="D4" s="10" t="s">
        <v>59</v>
      </c>
      <c r="E4" s="10" t="s">
        <v>60</v>
      </c>
      <c r="F4" s="10" t="s">
        <v>61</v>
      </c>
    </row>
    <row r="5" customFormat="false" ht="15" hidden="false" customHeight="false" outlineLevel="0" collapsed="false">
      <c r="A5" s="26" t="s">
        <v>62</v>
      </c>
      <c r="B5" s="27" t="n">
        <v>700000</v>
      </c>
      <c r="C5" s="28" t="n">
        <f aca="false">'Monthly P&amp;L'!N10</f>
        <v>729500</v>
      </c>
      <c r="D5" s="29" t="n">
        <f aca="false">C5-B5</f>
        <v>29500</v>
      </c>
      <c r="E5" s="30" t="n">
        <f aca="false">IFERROR(D5/B5,"n/a")</f>
        <v>0.0421428571428571</v>
      </c>
      <c r="F5" s="31" t="str">
        <f aca="false">IF(D5&gt;=0,"On Track","Below Budget")</f>
        <v>On Track</v>
      </c>
    </row>
    <row r="6" customFormat="false" ht="15" hidden="false" customHeight="false" outlineLevel="0" collapsed="false">
      <c r="A6" s="26" t="s">
        <v>63</v>
      </c>
      <c r="B6" s="27" t="n">
        <v>195000</v>
      </c>
      <c r="C6" s="28" t="n">
        <f aca="false">'Monthly P&amp;L'!N15</f>
        <v>207800</v>
      </c>
      <c r="D6" s="29" t="n">
        <f aca="false">C6-B6</f>
        <v>12800</v>
      </c>
      <c r="E6" s="30" t="n">
        <f aca="false">IFERROR(D6/B6,"n/a")</f>
        <v>0.0656410256410256</v>
      </c>
      <c r="F6" s="31" t="str">
        <f aca="false">IF(D6&lt;=0,"On Track","Over Budget")</f>
        <v>Over Budget</v>
      </c>
    </row>
    <row r="7" customFormat="false" ht="15" hidden="false" customHeight="false" outlineLevel="0" collapsed="false">
      <c r="A7" s="32" t="s">
        <v>64</v>
      </c>
      <c r="B7" s="33" t="n">
        <f aca="false">B5-B6</f>
        <v>505000</v>
      </c>
      <c r="C7" s="34" t="n">
        <f aca="false">'Monthly P&amp;L'!N17</f>
        <v>521700</v>
      </c>
      <c r="D7" s="33" t="n">
        <f aca="false">C7-B7</f>
        <v>16700</v>
      </c>
      <c r="E7" s="35" t="n">
        <f aca="false">IFERROR(D7/B7,"n/a")</f>
        <v>0.0330693069306931</v>
      </c>
      <c r="F7" s="36" t="str">
        <f aca="false">IF(D7&gt;=0,"On Track","Below Budget")</f>
        <v>On Track</v>
      </c>
    </row>
    <row r="8" customFormat="false" ht="15" hidden="false" customHeight="false" outlineLevel="0" collapsed="false">
      <c r="A8" s="26" t="s">
        <v>65</v>
      </c>
      <c r="B8" s="27" t="n">
        <v>300000</v>
      </c>
      <c r="C8" s="28" t="n">
        <f aca="false">'Monthly P&amp;L'!N28</f>
        <v>317900</v>
      </c>
      <c r="D8" s="29" t="n">
        <f aca="false">C8-B8</f>
        <v>17900</v>
      </c>
      <c r="E8" s="30" t="n">
        <f aca="false">IFERROR(D8/B8,"n/a")</f>
        <v>0.0596666666666667</v>
      </c>
      <c r="F8" s="31" t="str">
        <f aca="false">IF(D8&lt;=0,"On Track","Over Budget")</f>
        <v>Over Budget</v>
      </c>
    </row>
    <row r="9" customFormat="false" ht="15" hidden="false" customHeight="false" outlineLevel="0" collapsed="false">
      <c r="A9" s="32" t="s">
        <v>66</v>
      </c>
      <c r="B9" s="33" t="n">
        <f aca="false">B7-B8</f>
        <v>205000</v>
      </c>
      <c r="C9" s="34" t="n">
        <f aca="false">'Monthly P&amp;L'!N30</f>
        <v>203800</v>
      </c>
      <c r="D9" s="33" t="n">
        <f aca="false">C9-B9</f>
        <v>-1200</v>
      </c>
      <c r="E9" s="35" t="n">
        <f aca="false">IFERROR(D9/B9,"n/a")</f>
        <v>-0.00585365853658537</v>
      </c>
      <c r="F9" s="36" t="str">
        <f aca="false">IF(D9&gt;=0,"On Track","Below Budget")</f>
        <v>Below Budget</v>
      </c>
    </row>
    <row r="10" customFormat="false" ht="15" hidden="false" customHeight="false" outlineLevel="0" collapsed="false">
      <c r="A10" s="37" t="s">
        <v>67</v>
      </c>
      <c r="B10" s="38" t="n">
        <v>155000</v>
      </c>
      <c r="C10" s="38" t="n">
        <f aca="false">'Monthly P&amp;L'!N40</f>
        <v>159343</v>
      </c>
      <c r="D10" s="38" t="n">
        <f aca="false">C10-B10</f>
        <v>4343</v>
      </c>
      <c r="E10" s="39" t="n">
        <f aca="false">IFERROR(D10/B10,"n/a")</f>
        <v>0.0280193548387097</v>
      </c>
      <c r="F10" s="40" t="str">
        <f aca="false">IF(D10&gt;=0,"On Track","Below Budget")</f>
        <v>On Track</v>
      </c>
    </row>
    <row r="12" customFormat="false" ht="15" hidden="false" customHeight="false" outlineLevel="0" collapsed="false">
      <c r="A12" s="25" t="s">
        <v>68</v>
      </c>
      <c r="B12" s="25"/>
      <c r="C12" s="25"/>
      <c r="D12" s="25"/>
      <c r="E12" s="25"/>
      <c r="F12" s="25"/>
    </row>
    <row r="14" customFormat="false" ht="15" hidden="false" customHeight="false" outlineLevel="0" collapsed="false">
      <c r="A14" s="0" t="s">
        <v>69</v>
      </c>
      <c r="B14" s="0" t="s">
        <v>70</v>
      </c>
      <c r="C14" s="0" t="s">
        <v>71</v>
      </c>
    </row>
    <row r="15" customFormat="false" ht="15" hidden="false" customHeight="false" outlineLevel="0" collapsed="false">
      <c r="A15" s="41" t="s">
        <v>72</v>
      </c>
      <c r="B15" s="42" t="n">
        <f aca="false">B5</f>
        <v>700000</v>
      </c>
      <c r="C15" s="42" t="n">
        <f aca="false">C5</f>
        <v>729500</v>
      </c>
    </row>
    <row r="16" customFormat="false" ht="15" hidden="false" customHeight="false" outlineLevel="0" collapsed="false">
      <c r="A16" s="41" t="s">
        <v>73</v>
      </c>
      <c r="B16" s="42" t="n">
        <f aca="false">B6</f>
        <v>195000</v>
      </c>
      <c r="C16" s="42" t="n">
        <f aca="false">C6</f>
        <v>207800</v>
      </c>
    </row>
    <row r="17" customFormat="false" ht="15" hidden="false" customHeight="false" outlineLevel="0" collapsed="false">
      <c r="A17" s="41" t="s">
        <v>74</v>
      </c>
      <c r="B17" s="42" t="n">
        <f aca="false">B8</f>
        <v>300000</v>
      </c>
      <c r="C17" s="42" t="n">
        <f aca="false">C8</f>
        <v>317900</v>
      </c>
    </row>
    <row r="18" customFormat="false" ht="15" hidden="false" customHeight="false" outlineLevel="0" collapsed="false">
      <c r="A18" s="41" t="s">
        <v>67</v>
      </c>
      <c r="B18" s="42" t="n">
        <f aca="false">B10</f>
        <v>155000</v>
      </c>
      <c r="C18" s="42" t="n">
        <f aca="false">C10</f>
        <v>159343</v>
      </c>
    </row>
  </sheetData>
  <mergeCells count="3">
    <mergeCell ref="A1:F1"/>
    <mergeCell ref="A2:F2"/>
    <mergeCell ref="A12:F12"/>
  </mergeCells>
  <conditionalFormatting sqref="F5:F10">
    <cfRule type="cellIs" priority="2" operator="equal" aboveAverage="0" equalAverage="0" bottom="0" percent="0" rank="0" text="" dxfId="0">
      <formula>"On Track"</formula>
    </cfRule>
    <cfRule type="cellIs" priority="3" operator="equal" aboveAverage="0" equalAverage="0" bottom="0" percent="0" rank="0" text="" dxfId="1">
      <formula>"Over Budget"</formula>
    </cfRule>
    <cfRule type="cellIs" priority="4" operator="equal" aboveAverage="0" equalAverage="0" bottom="0" percent="0" rank="0" text="" dxfId="1">
      <formula>"Below Budget"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27.75" hidden="false" customHeight="true" outlineLevel="0" collapsed="false">
      <c r="A1" s="43" t="s">
        <v>75</v>
      </c>
      <c r="B1" s="43"/>
      <c r="C1" s="43"/>
    </row>
    <row r="3" customFormat="false" ht="15" hidden="false" customHeight="false" outlineLevel="0" collapsed="false">
      <c r="A3" s="44" t="s">
        <v>76</v>
      </c>
      <c r="B3" s="44" t="s">
        <v>77</v>
      </c>
      <c r="C3" s="44" t="s">
        <v>78</v>
      </c>
    </row>
    <row r="5" customFormat="false" ht="15" hidden="false" customHeight="false" outlineLevel="0" collapsed="false">
      <c r="A5" s="45" t="s">
        <v>79</v>
      </c>
      <c r="B5" s="46" t="n">
        <v>0.21</v>
      </c>
      <c r="C5" s="45" t="s">
        <v>80</v>
      </c>
    </row>
    <row r="6" customFormat="false" ht="30" hidden="false" customHeight="true" outlineLevel="0" collapsed="false">
      <c r="A6" s="47" t="s">
        <v>81</v>
      </c>
      <c r="B6" s="47" t="s">
        <v>82</v>
      </c>
      <c r="C6" s="48" t="s">
        <v>83</v>
      </c>
    </row>
    <row r="7" customFormat="false" ht="30" hidden="false" customHeight="true" outlineLevel="0" collapsed="false">
      <c r="A7" s="47" t="s">
        <v>84</v>
      </c>
      <c r="B7" s="47" t="s">
        <v>82</v>
      </c>
      <c r="C7" s="48" t="s">
        <v>85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2026-07-29T14:02:02Z</dcterms:created>
  <dc:creator>openpyxl</dc:creator>
  <dc:description/>
  <dc:language>en-US</dc:language>
  <cp:lastModifiedBy/>
  <dcterms:modified xsi:type="dcterms:W3CDTF">2026-07-29T14:02:04Z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